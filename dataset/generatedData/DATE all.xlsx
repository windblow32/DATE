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823\Desktop\"/>
    </mc:Choice>
  </mc:AlternateContent>
  <xr:revisionPtr revIDLastSave="0" documentId="13_ncr:1_{D285F57F-16CD-46B2-B0E0-05D6E9DF0687}" xr6:coauthVersionLast="47" xr6:coauthVersionMax="47" xr10:uidLastSave="{00000000-0000-0000-0000-000000000000}"/>
  <bookViews>
    <workbookView xWindow="-110" yWindow="-110" windowWidth="19420" windowHeight="11500" xr2:uid="{EF4E0505-18AA-B84A-8A1D-4A22ED90F6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85" i="1" l="1"/>
  <c r="S85" i="1"/>
  <c r="T85" i="1"/>
  <c r="U85" i="1"/>
  <c r="P85" i="1"/>
  <c r="O85" i="1"/>
  <c r="F85" i="1"/>
  <c r="G85" i="1"/>
  <c r="I85" i="1"/>
  <c r="J85" i="1"/>
  <c r="L85" i="1"/>
  <c r="M85" i="1"/>
  <c r="D85" i="1"/>
  <c r="C85" i="1"/>
  <c r="D76" i="1"/>
  <c r="F76" i="1"/>
  <c r="G76" i="1"/>
  <c r="I76" i="1"/>
  <c r="J76" i="1"/>
  <c r="L76" i="1"/>
  <c r="M76" i="1"/>
  <c r="O76" i="1"/>
  <c r="P76" i="1"/>
  <c r="R76" i="1"/>
  <c r="S76" i="1"/>
  <c r="T76" i="1"/>
  <c r="U76" i="1"/>
  <c r="C76" i="1"/>
  <c r="E58" i="1"/>
  <c r="F58" i="1"/>
  <c r="G58" i="1"/>
  <c r="H58" i="1"/>
  <c r="I58" i="1"/>
  <c r="J58" i="1"/>
  <c r="K58" i="1"/>
  <c r="D58" i="1"/>
  <c r="D67" i="1"/>
  <c r="E67" i="1"/>
  <c r="F67" i="1"/>
  <c r="G67" i="1"/>
  <c r="H67" i="1"/>
  <c r="I67" i="1"/>
  <c r="J67" i="1"/>
  <c r="K67" i="1"/>
  <c r="C67" i="1"/>
  <c r="D41" i="1"/>
  <c r="E41" i="1"/>
  <c r="F41" i="1"/>
  <c r="G41" i="1"/>
  <c r="H41" i="1"/>
  <c r="I41" i="1"/>
  <c r="J41" i="1"/>
  <c r="K41" i="1"/>
  <c r="C41" i="1"/>
  <c r="D33" i="1"/>
  <c r="E33" i="1"/>
  <c r="F33" i="1"/>
  <c r="G33" i="1"/>
  <c r="H33" i="1"/>
  <c r="I33" i="1"/>
  <c r="J33" i="1"/>
  <c r="K33" i="1"/>
  <c r="C33" i="1"/>
  <c r="E25" i="1"/>
  <c r="F25" i="1"/>
  <c r="G25" i="1"/>
  <c r="H25" i="1"/>
  <c r="I25" i="1"/>
  <c r="J25" i="1"/>
  <c r="K25" i="1"/>
  <c r="D25" i="1"/>
  <c r="E16" i="1"/>
  <c r="F16" i="1"/>
  <c r="G16" i="1"/>
  <c r="H16" i="1"/>
  <c r="I16" i="1"/>
  <c r="J16" i="1"/>
  <c r="K16" i="1"/>
  <c r="D16" i="1"/>
  <c r="E9" i="1"/>
  <c r="K9" i="1"/>
  <c r="J9" i="1"/>
  <c r="I9" i="1"/>
  <c r="H9" i="1"/>
  <c r="G9" i="1"/>
  <c r="F9" i="1"/>
</calcChain>
</file>

<file path=xl/sharedStrings.xml><?xml version="1.0" encoding="utf-8"?>
<sst xmlns="http://schemas.openxmlformats.org/spreadsheetml/2006/main" count="198" uniqueCount="50">
  <si>
    <t>dataset</t>
    <phoneticPr fontId="1" type="noConversion"/>
  </si>
  <si>
    <t>bank-marketing</t>
    <phoneticPr fontId="1" type="noConversion"/>
  </si>
  <si>
    <t>subsets</t>
    <phoneticPr fontId="1" type="noConversion"/>
  </si>
  <si>
    <t>origin</t>
    <phoneticPr fontId="1" type="noConversion"/>
  </si>
  <si>
    <t>total</t>
    <phoneticPr fontId="1" type="noConversion"/>
  </si>
  <si>
    <t>topK</t>
    <phoneticPr fontId="1" type="noConversion"/>
  </si>
  <si>
    <t>MAB</t>
    <phoneticPr fontId="1" type="noConversion"/>
  </si>
  <si>
    <t>forward</t>
    <phoneticPr fontId="1" type="noConversion"/>
  </si>
  <si>
    <t>backward</t>
    <phoneticPr fontId="1" type="noConversion"/>
  </si>
  <si>
    <t>no</t>
    <phoneticPr fontId="1" type="noConversion"/>
  </si>
  <si>
    <t>before</t>
    <phoneticPr fontId="1" type="noConversion"/>
  </si>
  <si>
    <t>after</t>
    <phoneticPr fontId="1" type="noConversion"/>
  </si>
  <si>
    <t>valiadation（forward）</t>
    <phoneticPr fontId="1" type="noConversion"/>
  </si>
  <si>
    <t>topK=5</t>
    <phoneticPr fontId="1" type="noConversion"/>
  </si>
  <si>
    <t>credit</t>
    <phoneticPr fontId="1" type="noConversion"/>
  </si>
  <si>
    <t>近似test分割</t>
    <phoneticPr fontId="1" type="noConversion"/>
  </si>
  <si>
    <t>whole</t>
    <phoneticPr fontId="1" type="noConversion"/>
  </si>
  <si>
    <t>修改subset</t>
    <phoneticPr fontId="1" type="noConversion"/>
  </si>
  <si>
    <t>dataset</t>
  </si>
  <si>
    <t>近似test分割</t>
  </si>
  <si>
    <t>valiadation（forward）</t>
  </si>
  <si>
    <t>backward</t>
  </si>
  <si>
    <t>topK</t>
  </si>
  <si>
    <t>subsets</t>
  </si>
  <si>
    <t>origin</t>
  </si>
  <si>
    <t>MAB</t>
  </si>
  <si>
    <t>forward</t>
  </si>
  <si>
    <t>topK=5</t>
  </si>
  <si>
    <t>before</t>
  </si>
  <si>
    <t>after</t>
  </si>
  <si>
    <t>whole</t>
  </si>
  <si>
    <t>total</t>
  </si>
  <si>
    <t>jannis</t>
    <phoneticPr fontId="1" type="noConversion"/>
  </si>
  <si>
    <t>heloc</t>
    <phoneticPr fontId="1" type="noConversion"/>
  </si>
  <si>
    <t>eye_movements</t>
    <phoneticPr fontId="1" type="noConversion"/>
  </si>
  <si>
    <t>MagicTelescope</t>
    <phoneticPr fontId="1" type="noConversion"/>
  </si>
  <si>
    <t>NO</t>
    <phoneticPr fontId="1" type="noConversion"/>
  </si>
  <si>
    <t>electricity</t>
  </si>
  <si>
    <t>no</t>
  </si>
  <si>
    <t>NO</t>
  </si>
  <si>
    <t>california</t>
    <phoneticPr fontId="1" type="noConversion"/>
  </si>
  <si>
    <t>bike</t>
    <phoneticPr fontId="1" type="noConversion"/>
  </si>
  <si>
    <t>MSE</t>
    <phoneticPr fontId="1" type="noConversion"/>
  </si>
  <si>
    <t>MAE</t>
    <phoneticPr fontId="1" type="noConversion"/>
  </si>
  <si>
    <t>MSE</t>
  </si>
  <si>
    <t>MAE</t>
  </si>
  <si>
    <t>R2</t>
  </si>
  <si>
    <t>valiadation（mse）</t>
    <phoneticPr fontId="1" type="noConversion"/>
  </si>
  <si>
    <t>valiadation（mse）</t>
  </si>
  <si>
    <t>boston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</si>
</sst>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  <font>
      <sz val="12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5052B-887E-5B4F-8F4F-FA6C62CEE1FB}">
  <dimension ref="A1:AE86"/>
  <sheetViews>
    <sheetView tabSelected="1" topLeftCell="A7" zoomScale="85" zoomScaleNormal="85" workbookViewId="0">
      <selection activeCell="Q85" sqref="Q85"/>
    </sheetView>
  </sheetViews>
  <sheetFormatPr defaultColWidth="10.84375" defaultRowHeight="15.5" x14ac:dyDescent="0.35"/>
  <cols>
    <col min="1" max="1" width="19.84375" style="1" customWidth="1"/>
    <col min="2" max="2" width="10.84375" style="1"/>
    <col min="3" max="3" width="11.23046875" style="1" customWidth="1"/>
    <col min="4" max="4" width="11.84375" style="1" customWidth="1"/>
    <col min="5" max="5" width="13.84375" style="1" customWidth="1"/>
    <col min="6" max="6" width="12.765625" style="1" customWidth="1"/>
    <col min="7" max="7" width="13.15234375" style="1" customWidth="1"/>
    <col min="8" max="8" width="13.765625" style="1" customWidth="1"/>
    <col min="9" max="14" width="10.84375" style="1"/>
    <col min="15" max="15" width="12.765625" style="1" customWidth="1"/>
    <col min="16" max="16" width="12.84375" style="1" customWidth="1"/>
    <col min="17" max="20" width="10.84375" style="1"/>
    <col min="21" max="21" width="13.15234375" style="1" customWidth="1"/>
    <col min="22" max="16384" width="10.84375" style="1"/>
  </cols>
  <sheetData>
    <row r="1" spans="1:11" x14ac:dyDescent="0.35">
      <c r="A1" s="1" t="s">
        <v>0</v>
      </c>
      <c r="C1" s="5"/>
      <c r="D1" s="5"/>
      <c r="H1" s="5" t="s">
        <v>12</v>
      </c>
      <c r="I1" s="5"/>
      <c r="J1" s="1" t="s">
        <v>8</v>
      </c>
      <c r="K1" s="1" t="s">
        <v>5</v>
      </c>
    </row>
    <row r="2" spans="1:11" ht="17.25" customHeight="1" x14ac:dyDescent="0.35">
      <c r="A2" s="3" t="s">
        <v>1</v>
      </c>
      <c r="B2" s="1" t="s">
        <v>2</v>
      </c>
      <c r="C2" s="1" t="s">
        <v>3</v>
      </c>
      <c r="D2" s="1" t="s">
        <v>6</v>
      </c>
      <c r="E2" s="1" t="s">
        <v>7</v>
      </c>
      <c r="F2" s="1" t="s">
        <v>8</v>
      </c>
      <c r="G2" s="1" t="s">
        <v>13</v>
      </c>
      <c r="H2" s="1" t="s">
        <v>10</v>
      </c>
      <c r="I2" s="1" t="s">
        <v>11</v>
      </c>
      <c r="J2" s="1" t="s">
        <v>11</v>
      </c>
      <c r="K2" s="1" t="s">
        <v>11</v>
      </c>
    </row>
    <row r="3" spans="1:11" x14ac:dyDescent="0.35">
      <c r="A3" s="1">
        <v>1200</v>
      </c>
      <c r="B3" s="1">
        <v>0</v>
      </c>
      <c r="C3" s="1">
        <v>0.23749999999999999</v>
      </c>
      <c r="D3" s="1">
        <v>0.2175</v>
      </c>
      <c r="E3" s="1">
        <v>0.23669999999999999</v>
      </c>
      <c r="F3" s="1">
        <v>0.24579999999999999</v>
      </c>
      <c r="G3" s="1">
        <v>0.24</v>
      </c>
      <c r="H3" s="1">
        <v>0.27689999999999998</v>
      </c>
      <c r="I3" s="1">
        <v>0.25929999999999997</v>
      </c>
      <c r="J3" s="1">
        <v>0.25169999999999998</v>
      </c>
      <c r="K3" s="1">
        <v>0.2601</v>
      </c>
    </row>
    <row r="4" spans="1:11" x14ac:dyDescent="0.35">
      <c r="A4" s="1">
        <v>15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1" x14ac:dyDescent="0.35">
      <c r="A5" s="1">
        <v>82</v>
      </c>
      <c r="B5" s="1">
        <v>2</v>
      </c>
      <c r="C5" s="2">
        <v>0.23169999999999999</v>
      </c>
      <c r="D5" s="2">
        <v>0.1951</v>
      </c>
      <c r="E5" s="1">
        <v>0.31709999999999999</v>
      </c>
      <c r="F5" s="1">
        <v>0.29270000000000002</v>
      </c>
      <c r="G5" s="1">
        <v>0.29270000000000002</v>
      </c>
      <c r="H5" s="1">
        <v>0.2319</v>
      </c>
      <c r="I5" s="1">
        <v>0.186</v>
      </c>
      <c r="J5" s="1">
        <v>0.19570000000000001</v>
      </c>
      <c r="K5" s="1">
        <v>0.19570000000000001</v>
      </c>
    </row>
    <row r="6" spans="1:11" x14ac:dyDescent="0.35">
      <c r="A6" s="1">
        <v>60</v>
      </c>
      <c r="B6" s="1">
        <v>3</v>
      </c>
      <c r="C6" s="1">
        <v>0.1333</v>
      </c>
      <c r="D6" s="1">
        <v>0.1333</v>
      </c>
      <c r="E6" s="1">
        <v>0.2</v>
      </c>
      <c r="F6" s="1">
        <v>0.2833</v>
      </c>
      <c r="G6" s="1">
        <v>0.31669999999999998</v>
      </c>
      <c r="H6" s="1">
        <v>0.2676</v>
      </c>
      <c r="I6" s="1">
        <v>0.14080000000000001</v>
      </c>
      <c r="J6" s="1">
        <v>0.21129999999999999</v>
      </c>
      <c r="K6" s="1">
        <v>0.15490000000000001</v>
      </c>
    </row>
    <row r="7" spans="1:11" x14ac:dyDescent="0.35">
      <c r="A7" s="1">
        <v>36</v>
      </c>
      <c r="B7" s="1">
        <v>4</v>
      </c>
      <c r="C7" s="1">
        <v>0.22220000000000001</v>
      </c>
      <c r="D7" s="1">
        <v>0.16669999999999999</v>
      </c>
      <c r="E7" s="1">
        <v>0.22220000000000001</v>
      </c>
      <c r="F7" s="1">
        <v>0.22220000000000001</v>
      </c>
      <c r="G7" s="1">
        <v>0.22220000000000001</v>
      </c>
      <c r="H7" s="1">
        <v>0.15790000000000001</v>
      </c>
      <c r="I7" s="1">
        <v>0.13159999999999999</v>
      </c>
      <c r="J7" s="1">
        <v>0.13159999999999999</v>
      </c>
      <c r="K7" s="1">
        <v>0.13159999999999999</v>
      </c>
    </row>
    <row r="8" spans="1:11" x14ac:dyDescent="0.35">
      <c r="A8" s="1">
        <v>21</v>
      </c>
      <c r="B8" s="1">
        <v>5</v>
      </c>
      <c r="C8" s="1">
        <v>0.23810000000000001</v>
      </c>
      <c r="D8" s="1">
        <v>0.1905</v>
      </c>
      <c r="E8" s="1">
        <v>0.28570000000000001</v>
      </c>
      <c r="F8" s="1">
        <v>0.33329999999999999</v>
      </c>
      <c r="G8" s="1">
        <v>0.33329999999999999</v>
      </c>
      <c r="H8" s="1">
        <v>0.38240000000000002</v>
      </c>
      <c r="I8" s="1">
        <v>0.29409999999999997</v>
      </c>
      <c r="J8" s="1">
        <v>0.35289999999999999</v>
      </c>
      <c r="K8" s="1">
        <v>0.32350000000000001</v>
      </c>
    </row>
    <row r="9" spans="1:11" x14ac:dyDescent="0.35">
      <c r="B9" s="1" t="s">
        <v>4</v>
      </c>
      <c r="C9" s="1">
        <v>0.2298</v>
      </c>
      <c r="D9" s="1">
        <v>0.20860000000000001</v>
      </c>
      <c r="E9" s="1">
        <f>(E3*A3 +E4*A4+E5*A5+E6*A6+E7*A7+E8*A8)/SUM(A3:A8)</f>
        <v>0.23765282885431402</v>
      </c>
      <c r="F9" s="1">
        <f>(F3*A3 +F4*A4+F5*A5+F6*A6+F7*A7+F8*A8)/SUM(A3:A8)</f>
        <v>0.24820219236209332</v>
      </c>
      <c r="G9" s="1">
        <f>(G3*A3 +G4*A4+G5*A5+G6*A6+G7*A7+G8*A8)/SUM(A3:A8)</f>
        <v>0.24469724186704384</v>
      </c>
      <c r="H9" s="1">
        <f>(H3*A3 +H4*A4+H5*A5+H6*A6+H7*A7+H8*A8)/SUM(A3:A8)</f>
        <v>0.26949547383309758</v>
      </c>
      <c r="I9" s="1">
        <f>(I3*A3 +I4*A4+I5*A5+I6*A6+I7*A7+I8*A8)/SUM(A3:A8)</f>
        <v>0.24453585572842995</v>
      </c>
      <c r="J9" s="1">
        <f>(J3*A3 +J4*A4+J5*A5+J6*A6+J7*A7+J8*A8)/SUM(A3:A8)</f>
        <v>0.24251336633663365</v>
      </c>
      <c r="K9" s="1">
        <f>(K3*A3 +K4*A4+K5*A5+K6*A6+K7*A7+K8*A8)/SUM(A3:A8)</f>
        <v>0.24681223479490802</v>
      </c>
    </row>
    <row r="10" spans="1:11" x14ac:dyDescent="0.35">
      <c r="B10" s="1" t="s">
        <v>9</v>
      </c>
      <c r="C10" s="1">
        <v>0.28989999999999999</v>
      </c>
    </row>
    <row r="12" spans="1:11" x14ac:dyDescent="0.35">
      <c r="A12" s="1" t="s">
        <v>18</v>
      </c>
      <c r="B12" s="1" t="s">
        <v>19</v>
      </c>
    </row>
    <row r="13" spans="1:11" x14ac:dyDescent="0.35">
      <c r="A13" s="3" t="s">
        <v>37</v>
      </c>
      <c r="B13" s="1" t="s">
        <v>23</v>
      </c>
      <c r="C13" s="1" t="s">
        <v>24</v>
      </c>
      <c r="D13" s="1" t="s">
        <v>25</v>
      </c>
      <c r="E13" s="1" t="s">
        <v>26</v>
      </c>
      <c r="F13" s="1" t="s">
        <v>21</v>
      </c>
      <c r="G13" s="1" t="s">
        <v>27</v>
      </c>
      <c r="H13" s="1" t="s">
        <v>28</v>
      </c>
      <c r="I13" s="1" t="s">
        <v>29</v>
      </c>
      <c r="J13" s="1" t="s">
        <v>29</v>
      </c>
      <c r="K13" s="1" t="s">
        <v>29</v>
      </c>
    </row>
    <row r="14" spans="1:11" x14ac:dyDescent="0.35">
      <c r="A14" s="1">
        <v>1484</v>
      </c>
      <c r="B14" s="1">
        <v>0</v>
      </c>
      <c r="C14" s="1">
        <v>7.3450000000000001E-2</v>
      </c>
      <c r="D14" s="1">
        <v>6.9400000000000003E-2</v>
      </c>
      <c r="E14" s="1">
        <v>7.6100000000000001E-2</v>
      </c>
      <c r="F14" s="1">
        <v>7.4099999999999999E-2</v>
      </c>
      <c r="G14" s="1">
        <v>7.3499999999999996E-2</v>
      </c>
      <c r="H14" s="1">
        <v>6.9010000000000002E-2</v>
      </c>
      <c r="I14" s="1">
        <v>6.6299999999999998E-2</v>
      </c>
      <c r="J14" s="1">
        <v>6.5000000000000002E-2</v>
      </c>
      <c r="K14" s="1">
        <v>6.2199999999999998E-2</v>
      </c>
    </row>
    <row r="15" spans="1:11" x14ac:dyDescent="0.35">
      <c r="A15" s="1">
        <v>6211</v>
      </c>
      <c r="B15" s="1">
        <v>1</v>
      </c>
      <c r="C15" s="1">
        <v>0.14474000000000001</v>
      </c>
      <c r="D15" s="1">
        <v>0.14169999999999999</v>
      </c>
      <c r="E15" s="1">
        <v>0.1447</v>
      </c>
      <c r="F15" s="1">
        <v>0.14410000000000001</v>
      </c>
      <c r="G15" s="1">
        <v>0.1444</v>
      </c>
      <c r="H15" s="1">
        <v>0.1658</v>
      </c>
      <c r="I15" s="1">
        <v>0.1658</v>
      </c>
      <c r="J15" s="1">
        <v>0.16289999999999999</v>
      </c>
      <c r="K15" s="1">
        <v>0.16450000000000001</v>
      </c>
    </row>
    <row r="16" spans="1:11" x14ac:dyDescent="0.35">
      <c r="B16" s="1" t="s">
        <v>31</v>
      </c>
      <c r="C16" s="1">
        <v>0.13099</v>
      </c>
      <c r="D16" s="1">
        <f t="shared" ref="D16:K16" si="0">(D14*$A14+D15*$A15)/($A14+$A15)</f>
        <v>0.1277567641325536</v>
      </c>
      <c r="E16" s="1">
        <f t="shared" si="0"/>
        <v>0.13147031838856399</v>
      </c>
      <c r="F16" s="1">
        <f t="shared" si="0"/>
        <v>0.13060032488628981</v>
      </c>
      <c r="G16" s="1">
        <f t="shared" si="0"/>
        <v>0.1307267576348278</v>
      </c>
      <c r="H16" s="1">
        <f t="shared" si="0"/>
        <v>0.14713380636777126</v>
      </c>
      <c r="I16" s="1">
        <f t="shared" si="0"/>
        <v>0.14661117608836907</v>
      </c>
      <c r="J16" s="1">
        <f t="shared" si="0"/>
        <v>0.14401974009096816</v>
      </c>
      <c r="K16" s="1">
        <f t="shared" si="0"/>
        <v>0.14477118908382067</v>
      </c>
    </row>
    <row r="17" spans="1:11" x14ac:dyDescent="0.35">
      <c r="B17" s="1" t="s">
        <v>38</v>
      </c>
      <c r="C17" s="1">
        <v>0.13436999999999999</v>
      </c>
    </row>
    <row r="20" spans="1:11" x14ac:dyDescent="0.35">
      <c r="A20" s="1" t="s">
        <v>0</v>
      </c>
      <c r="B20" s="1" t="s">
        <v>15</v>
      </c>
      <c r="C20" s="5"/>
      <c r="D20" s="5"/>
      <c r="H20" s="5" t="s">
        <v>12</v>
      </c>
      <c r="I20" s="5"/>
      <c r="J20" s="1" t="s">
        <v>8</v>
      </c>
      <c r="K20" s="1" t="s">
        <v>5</v>
      </c>
    </row>
    <row r="21" spans="1:11" x14ac:dyDescent="0.35">
      <c r="A21" s="3" t="s">
        <v>35</v>
      </c>
      <c r="B21" s="1" t="s">
        <v>2</v>
      </c>
      <c r="C21" s="1" t="s">
        <v>3</v>
      </c>
      <c r="D21" s="1" t="s">
        <v>6</v>
      </c>
      <c r="E21" s="1" t="s">
        <v>7</v>
      </c>
      <c r="F21" s="1" t="s">
        <v>8</v>
      </c>
      <c r="G21" s="1" t="s">
        <v>13</v>
      </c>
      <c r="H21" s="1" t="s">
        <v>10</v>
      </c>
      <c r="I21" s="1" t="s">
        <v>11</v>
      </c>
      <c r="J21" s="1" t="s">
        <v>11</v>
      </c>
      <c r="K21" s="1" t="s">
        <v>11</v>
      </c>
    </row>
    <row r="22" spans="1:11" x14ac:dyDescent="0.35">
      <c r="A22" s="1">
        <v>289</v>
      </c>
      <c r="B22" s="1">
        <v>0</v>
      </c>
      <c r="C22" s="1">
        <v>4.4979999999999999E-2</v>
      </c>
      <c r="D22" s="1">
        <v>3.1099999999999999E-2</v>
      </c>
      <c r="E22" s="1">
        <v>4.8399999999999999E-2</v>
      </c>
      <c r="F22" s="1">
        <v>2.0799999999999999E-2</v>
      </c>
      <c r="G22" s="1">
        <v>3.8100000000000002E-2</v>
      </c>
      <c r="H22" s="1">
        <v>4.6760000000000003E-2</v>
      </c>
      <c r="I22" s="1">
        <v>3.2399999999999998E-2</v>
      </c>
      <c r="J22" s="1">
        <v>3.2399999999999998E-2</v>
      </c>
      <c r="K22" s="1">
        <v>2.52E-2</v>
      </c>
    </row>
    <row r="23" spans="1:11" x14ac:dyDescent="0.35">
      <c r="A23" s="1">
        <v>2387</v>
      </c>
      <c r="B23" s="1">
        <v>1</v>
      </c>
      <c r="C23" s="1">
        <v>0.2346</v>
      </c>
      <c r="D23" s="1">
        <v>0.2283</v>
      </c>
      <c r="E23" s="1">
        <v>0.2359</v>
      </c>
      <c r="F23" s="1">
        <v>0.23250000000000001</v>
      </c>
      <c r="G23" s="1">
        <v>0.23380000000000001</v>
      </c>
      <c r="H23" s="1">
        <v>0.22477</v>
      </c>
      <c r="I23" s="1">
        <v>0.22020000000000001</v>
      </c>
      <c r="J23" s="1">
        <v>0.21679999999999999</v>
      </c>
      <c r="K23" s="1">
        <v>0.21729999999999999</v>
      </c>
    </row>
    <row r="24" spans="1:11" x14ac:dyDescent="0.35">
      <c r="A24" s="1">
        <v>665</v>
      </c>
      <c r="B24" s="1" t="s">
        <v>16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 x14ac:dyDescent="0.35">
      <c r="B25" s="1" t="s">
        <v>4</v>
      </c>
      <c r="C25" s="1">
        <v>0.17150000000000001</v>
      </c>
      <c r="D25" s="1">
        <f>(D23*$A23+D22*$A22)/($A22+$A23+$A24)</f>
        <v>0.16580065848548337</v>
      </c>
      <c r="E25" s="1">
        <f t="shared" ref="E25:K25" si="1">(E23*$A23+E22*$A22)/($A22+$A23+$A24)</f>
        <v>0.17272699790481894</v>
      </c>
      <c r="F25" s="1">
        <f t="shared" si="1"/>
        <v>0.16791041604310089</v>
      </c>
      <c r="G25" s="1">
        <f t="shared" si="1"/>
        <v>0.17033567794073631</v>
      </c>
      <c r="H25" s="1">
        <f t="shared" si="1"/>
        <v>0.16463323256510026</v>
      </c>
      <c r="I25" s="1">
        <f t="shared" si="1"/>
        <v>0.16012601017659384</v>
      </c>
      <c r="J25" s="1">
        <f t="shared" si="1"/>
        <v>0.15769685722837473</v>
      </c>
      <c r="K25" s="1">
        <f t="shared" si="1"/>
        <v>0.15743127806046092</v>
      </c>
    </row>
    <row r="26" spans="1:11" x14ac:dyDescent="0.35">
      <c r="B26" s="1" t="s">
        <v>9</v>
      </c>
      <c r="C26" s="1">
        <v>0.21113599999999999</v>
      </c>
    </row>
    <row r="28" spans="1:11" x14ac:dyDescent="0.35">
      <c r="A28" s="1" t="s">
        <v>18</v>
      </c>
      <c r="B28" s="1" t="s">
        <v>19</v>
      </c>
      <c r="H28" s="1" t="s">
        <v>20</v>
      </c>
      <c r="J28" s="1" t="s">
        <v>21</v>
      </c>
      <c r="K28" s="1" t="s">
        <v>22</v>
      </c>
    </row>
    <row r="29" spans="1:11" x14ac:dyDescent="0.35">
      <c r="A29" s="3" t="s">
        <v>34</v>
      </c>
      <c r="B29" s="1" t="s">
        <v>23</v>
      </c>
      <c r="C29" s="1" t="s">
        <v>24</v>
      </c>
      <c r="D29" s="1" t="s">
        <v>25</v>
      </c>
      <c r="E29" s="1" t="s">
        <v>26</v>
      </c>
      <c r="F29" s="1" t="s">
        <v>21</v>
      </c>
      <c r="G29" s="1" t="s">
        <v>27</v>
      </c>
      <c r="H29" s="1" t="s">
        <v>28</v>
      </c>
      <c r="I29" s="1" t="s">
        <v>29</v>
      </c>
      <c r="J29" s="1" t="s">
        <v>29</v>
      </c>
      <c r="K29" s="1" t="s">
        <v>29</v>
      </c>
    </row>
    <row r="30" spans="1:11" x14ac:dyDescent="0.35">
      <c r="A30" s="1">
        <v>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 x14ac:dyDescent="0.35">
      <c r="A31" s="1">
        <v>1508</v>
      </c>
      <c r="B31" s="1">
        <v>1</v>
      </c>
      <c r="C31" s="1">
        <v>0.44230000000000003</v>
      </c>
      <c r="D31" s="1">
        <v>0.433</v>
      </c>
      <c r="E31" s="1">
        <v>0.44230000000000003</v>
      </c>
      <c r="F31" s="1">
        <v>0.44159999999999999</v>
      </c>
      <c r="G31" s="1">
        <v>0.439</v>
      </c>
      <c r="H31" s="1">
        <v>0.46096999999999999</v>
      </c>
      <c r="I31" s="1">
        <v>0.46100000000000002</v>
      </c>
      <c r="J31" s="1">
        <v>0.46100000000000002</v>
      </c>
      <c r="K31" s="1">
        <v>0.45040000000000002</v>
      </c>
    </row>
    <row r="32" spans="1:11" x14ac:dyDescent="0.35">
      <c r="A32" s="1">
        <v>7</v>
      </c>
      <c r="B32" s="1" t="s">
        <v>30</v>
      </c>
      <c r="C32" s="1">
        <v>0.4415</v>
      </c>
      <c r="D32" s="1">
        <v>0.42849999999999999</v>
      </c>
      <c r="E32" s="1">
        <v>0.4415</v>
      </c>
      <c r="F32" s="1">
        <v>0.44019999999999998</v>
      </c>
      <c r="G32" s="1">
        <v>0.43759999999999999</v>
      </c>
      <c r="H32" s="1">
        <v>0.46096999999999999</v>
      </c>
      <c r="I32" s="1">
        <v>0.46100000000000002</v>
      </c>
      <c r="J32" s="1">
        <v>0.4491</v>
      </c>
      <c r="K32" s="1">
        <v>0.45040000000000002</v>
      </c>
    </row>
    <row r="33" spans="1:11" x14ac:dyDescent="0.35">
      <c r="B33" s="1" t="s">
        <v>31</v>
      </c>
      <c r="C33" s="1">
        <f t="shared" ref="C33:K33" si="2">($A31*C31+$A32*C32)/($A30+$A31+$A32)</f>
        <v>0.44026208935611044</v>
      </c>
      <c r="D33" s="1">
        <f t="shared" si="2"/>
        <v>0.43098784494086723</v>
      </c>
      <c r="E33" s="1">
        <f t="shared" si="2"/>
        <v>0.44026208935611044</v>
      </c>
      <c r="F33" s="1">
        <f t="shared" si="2"/>
        <v>0.43956254927726679</v>
      </c>
      <c r="G33" s="1">
        <f t="shared" si="2"/>
        <v>0.43697450722733255</v>
      </c>
      <c r="H33" s="1">
        <f t="shared" si="2"/>
        <v>0.4588499014454665</v>
      </c>
      <c r="I33" s="1">
        <f t="shared" si="2"/>
        <v>0.45887976346911957</v>
      </c>
      <c r="J33" s="1">
        <f t="shared" si="2"/>
        <v>0.45882503285151116</v>
      </c>
      <c r="K33" s="1">
        <f t="shared" si="2"/>
        <v>0.44832851511169514</v>
      </c>
    </row>
    <row r="34" spans="1:11" x14ac:dyDescent="0.35">
      <c r="B34" s="1" t="s">
        <v>9</v>
      </c>
      <c r="C34" s="1">
        <v>0.45926</v>
      </c>
    </row>
    <row r="37" spans="1:11" x14ac:dyDescent="0.35">
      <c r="A37" s="1" t="s">
        <v>0</v>
      </c>
      <c r="B37" s="1" t="s">
        <v>19</v>
      </c>
      <c r="H37" s="1" t="s">
        <v>20</v>
      </c>
      <c r="J37" s="1" t="s">
        <v>21</v>
      </c>
      <c r="K37" s="1" t="s">
        <v>22</v>
      </c>
    </row>
    <row r="38" spans="1:11" x14ac:dyDescent="0.35">
      <c r="A38" s="4" t="s">
        <v>33</v>
      </c>
      <c r="B38" s="1" t="s">
        <v>23</v>
      </c>
      <c r="C38" s="1" t="s">
        <v>24</v>
      </c>
      <c r="D38" s="1" t="s">
        <v>25</v>
      </c>
      <c r="E38" s="1" t="s">
        <v>26</v>
      </c>
      <c r="F38" s="1" t="s">
        <v>21</v>
      </c>
      <c r="G38" s="1" t="s">
        <v>27</v>
      </c>
      <c r="H38" s="1" t="s">
        <v>28</v>
      </c>
      <c r="I38" s="1" t="s">
        <v>29</v>
      </c>
      <c r="J38" s="1" t="s">
        <v>29</v>
      </c>
      <c r="K38" s="1" t="s">
        <v>29</v>
      </c>
    </row>
    <row r="39" spans="1:11" x14ac:dyDescent="0.35">
      <c r="A39" s="1">
        <v>780</v>
      </c>
      <c r="B39" s="1">
        <v>0</v>
      </c>
      <c r="C39" s="1">
        <v>0.34487000000000001</v>
      </c>
      <c r="D39" s="1">
        <v>0.34229999999999999</v>
      </c>
      <c r="E39" s="1">
        <v>0.34489999999999998</v>
      </c>
      <c r="F39" s="1">
        <v>0.33460000000000001</v>
      </c>
      <c r="G39" s="1">
        <v>0.35</v>
      </c>
      <c r="H39" s="1">
        <v>0.27224999999999999</v>
      </c>
      <c r="I39" s="1">
        <v>0.26</v>
      </c>
      <c r="J39" s="1">
        <v>0.25829999999999997</v>
      </c>
      <c r="K39" s="1">
        <v>0.24959999999999999</v>
      </c>
    </row>
    <row r="40" spans="1:11" x14ac:dyDescent="0.35">
      <c r="A40" s="1">
        <v>133</v>
      </c>
      <c r="B40" s="1">
        <v>1</v>
      </c>
      <c r="C40" s="1">
        <v>0.3609</v>
      </c>
      <c r="D40" s="1">
        <v>0.3609</v>
      </c>
      <c r="E40" s="1">
        <v>0.3609</v>
      </c>
      <c r="F40" s="1">
        <v>0.3609</v>
      </c>
      <c r="G40" s="1">
        <v>0.3609</v>
      </c>
      <c r="H40" s="1">
        <v>0.34426000000000001</v>
      </c>
      <c r="I40" s="1">
        <v>0.33200000000000002</v>
      </c>
      <c r="J40" s="1">
        <v>0.33200000000000002</v>
      </c>
      <c r="K40" s="1">
        <v>0.33200000000000002</v>
      </c>
    </row>
    <row r="41" spans="1:11" x14ac:dyDescent="0.35">
      <c r="B41" s="1" t="s">
        <v>31</v>
      </c>
      <c r="C41" s="1">
        <f t="shared" ref="C41:K41" si="3">($A39*C39+$A40*C40)/($A39+$A40)</f>
        <v>0.34720514786418405</v>
      </c>
      <c r="D41" s="1">
        <f t="shared" si="3"/>
        <v>0.34500952902519166</v>
      </c>
      <c r="E41" s="1">
        <f t="shared" si="3"/>
        <v>0.34723077765607885</v>
      </c>
      <c r="F41" s="1">
        <f t="shared" si="3"/>
        <v>0.33843121577217966</v>
      </c>
      <c r="G41" s="1">
        <f t="shared" si="3"/>
        <v>0.35158784227820372</v>
      </c>
      <c r="H41" s="1">
        <f t="shared" si="3"/>
        <v>0.28273995618838987</v>
      </c>
      <c r="I41" s="1">
        <f t="shared" si="3"/>
        <v>0.27048849945235487</v>
      </c>
      <c r="J41" s="1">
        <f t="shared" si="3"/>
        <v>0.26903614457831326</v>
      </c>
      <c r="K41" s="1">
        <f t="shared" si="3"/>
        <v>0.26160350492880613</v>
      </c>
    </row>
    <row r="42" spans="1:11" x14ac:dyDescent="0.35">
      <c r="B42" s="1" t="s">
        <v>9</v>
      </c>
      <c r="C42" s="1">
        <v>0.36649999999999999</v>
      </c>
    </row>
    <row r="44" spans="1:11" x14ac:dyDescent="0.35">
      <c r="A44" s="1" t="s">
        <v>17</v>
      </c>
    </row>
    <row r="45" spans="1:11" x14ac:dyDescent="0.35">
      <c r="A45" s="1" t="s">
        <v>0</v>
      </c>
      <c r="B45" s="1" t="s">
        <v>15</v>
      </c>
    </row>
    <row r="46" spans="1:11" x14ac:dyDescent="0.35">
      <c r="A46" s="3" t="s">
        <v>14</v>
      </c>
      <c r="B46" s="1" t="s">
        <v>2</v>
      </c>
      <c r="C46" s="1" t="s">
        <v>3</v>
      </c>
      <c r="D46" s="1" t="s">
        <v>6</v>
      </c>
      <c r="E46" s="1" t="s">
        <v>7</v>
      </c>
      <c r="F46" s="1" t="s">
        <v>8</v>
      </c>
      <c r="G46" s="1" t="s">
        <v>13</v>
      </c>
      <c r="H46" s="1" t="s">
        <v>10</v>
      </c>
      <c r="I46" s="1" t="s">
        <v>11</v>
      </c>
      <c r="J46" s="1" t="s">
        <v>11</v>
      </c>
      <c r="K46" s="1" t="s">
        <v>11</v>
      </c>
    </row>
    <row r="47" spans="1:11" x14ac:dyDescent="0.35">
      <c r="A47" s="1">
        <v>639</v>
      </c>
      <c r="B47" s="1">
        <v>0</v>
      </c>
      <c r="C47" s="1">
        <v>0.17680000000000001</v>
      </c>
      <c r="D47" s="1">
        <v>0.16900000000000001</v>
      </c>
      <c r="E47" s="1">
        <v>0.1706</v>
      </c>
      <c r="G47" s="1">
        <v>0.17530000000000001</v>
      </c>
    </row>
    <row r="48" spans="1:11" x14ac:dyDescent="0.35">
      <c r="A48" s="1">
        <v>2704</v>
      </c>
      <c r="B48" s="1">
        <v>1</v>
      </c>
      <c r="C48" s="1">
        <v>0.34499999999999997</v>
      </c>
      <c r="D48" s="1">
        <v>0.34320000000000001</v>
      </c>
    </row>
    <row r="49" spans="1:11" x14ac:dyDescent="0.35">
      <c r="A49" s="1">
        <v>836</v>
      </c>
      <c r="B49" s="1" t="s">
        <v>16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 x14ac:dyDescent="0.35">
      <c r="B50" s="1" t="s">
        <v>4</v>
      </c>
      <c r="C50" s="1">
        <v>0.25030000000000002</v>
      </c>
      <c r="D50" s="1">
        <v>0.24790000000000001</v>
      </c>
    </row>
    <row r="51" spans="1:11" x14ac:dyDescent="0.35">
      <c r="B51" s="1" t="s">
        <v>9</v>
      </c>
      <c r="C51" s="1">
        <v>0.309</v>
      </c>
    </row>
    <row r="54" spans="1:11" x14ac:dyDescent="0.35">
      <c r="A54" s="1" t="s">
        <v>18</v>
      </c>
      <c r="B54" s="1" t="s">
        <v>19</v>
      </c>
      <c r="H54" s="1" t="s">
        <v>12</v>
      </c>
      <c r="J54" s="1" t="s">
        <v>21</v>
      </c>
      <c r="K54" s="1" t="s">
        <v>22</v>
      </c>
    </row>
    <row r="55" spans="1:11" x14ac:dyDescent="0.35">
      <c r="A55" s="3" t="s">
        <v>40</v>
      </c>
      <c r="B55" s="1" t="s">
        <v>23</v>
      </c>
      <c r="C55" s="1" t="s">
        <v>24</v>
      </c>
      <c r="D55" s="1" t="s">
        <v>25</v>
      </c>
      <c r="E55" s="1" t="s">
        <v>7</v>
      </c>
      <c r="F55" s="1" t="s">
        <v>8</v>
      </c>
      <c r="G55" s="1" t="s">
        <v>27</v>
      </c>
      <c r="H55" s="1" t="s">
        <v>10</v>
      </c>
      <c r="I55" s="1" t="s">
        <v>11</v>
      </c>
      <c r="J55" s="1" t="s">
        <v>29</v>
      </c>
      <c r="K55" s="1" t="s">
        <v>29</v>
      </c>
    </row>
    <row r="56" spans="1:11" x14ac:dyDescent="0.35">
      <c r="A56" s="1">
        <v>944</v>
      </c>
      <c r="B56" s="1">
        <v>0</v>
      </c>
      <c r="C56" s="1">
        <v>0.17161000000000001</v>
      </c>
      <c r="D56" s="1">
        <v>0.161</v>
      </c>
      <c r="E56" s="1">
        <v>0.18010000000000001</v>
      </c>
      <c r="F56" s="1">
        <v>0.1716</v>
      </c>
      <c r="G56" s="1">
        <v>0.1716</v>
      </c>
      <c r="H56" s="1">
        <v>5.2311000000000003E-2</v>
      </c>
      <c r="I56" s="1">
        <v>4.99E-2</v>
      </c>
      <c r="J56" s="1">
        <v>4.99E-2</v>
      </c>
      <c r="K56" s="1">
        <v>4.99E-2</v>
      </c>
    </row>
    <row r="57" spans="1:11" x14ac:dyDescent="0.35">
      <c r="A57" s="1">
        <v>434</v>
      </c>
      <c r="B57" s="1">
        <v>1</v>
      </c>
      <c r="C57" s="1">
        <v>6.2210000000000001E-2</v>
      </c>
      <c r="D57" s="1">
        <v>5.9900000000000002E-2</v>
      </c>
      <c r="E57" s="1">
        <v>5.9900000000000002E-2</v>
      </c>
      <c r="F57" s="1">
        <v>6.4500000000000002E-2</v>
      </c>
      <c r="G57" s="1">
        <v>6.4500000000000002E-2</v>
      </c>
      <c r="H57" s="1">
        <v>5.96E-2</v>
      </c>
      <c r="I57" s="1">
        <v>5.6300000000000003E-2</v>
      </c>
      <c r="J57" s="1">
        <v>5.79E-2</v>
      </c>
      <c r="K57" s="1">
        <v>5.79E-2</v>
      </c>
    </row>
    <row r="58" spans="1:11" x14ac:dyDescent="0.35">
      <c r="B58" s="1" t="s">
        <v>31</v>
      </c>
      <c r="C58" s="1">
        <v>0.13714999999999999</v>
      </c>
      <c r="D58" s="1">
        <f>(D56*$A56+D57*$A57)/($A56+$A57)</f>
        <v>0.12915863570391872</v>
      </c>
      <c r="E58" s="1">
        <f t="shared" ref="E58:K58" si="4">(E56*$A56+E57*$A57)/($A56+$A57)</f>
        <v>0.14224310595065315</v>
      </c>
      <c r="F58" s="1">
        <f t="shared" si="4"/>
        <v>0.13786894049346879</v>
      </c>
      <c r="G58" s="1">
        <f t="shared" si="4"/>
        <v>0.13786894049346879</v>
      </c>
      <c r="H58" s="1">
        <f t="shared" si="4"/>
        <v>5.4606664731494919E-2</v>
      </c>
      <c r="I58" s="1">
        <f t="shared" si="4"/>
        <v>5.1915674891146589E-2</v>
      </c>
      <c r="J58" s="1">
        <f t="shared" si="4"/>
        <v>5.2419593613933238E-2</v>
      </c>
      <c r="K58" s="1">
        <f t="shared" si="4"/>
        <v>5.2419593613933238E-2</v>
      </c>
    </row>
    <row r="59" spans="1:11" x14ac:dyDescent="0.35">
      <c r="B59" s="1" t="s">
        <v>39</v>
      </c>
      <c r="C59" s="1">
        <v>0.15604499999999999</v>
      </c>
    </row>
    <row r="62" spans="1:11" x14ac:dyDescent="0.35">
      <c r="A62" s="1" t="s">
        <v>0</v>
      </c>
      <c r="B62" s="1" t="s">
        <v>19</v>
      </c>
      <c r="H62" s="1" t="s">
        <v>20</v>
      </c>
      <c r="J62" s="1" t="s">
        <v>21</v>
      </c>
      <c r="K62" s="1" t="s">
        <v>22</v>
      </c>
    </row>
    <row r="63" spans="1:11" x14ac:dyDescent="0.35">
      <c r="A63" s="3" t="s">
        <v>32</v>
      </c>
      <c r="B63" s="1" t="s">
        <v>23</v>
      </c>
      <c r="C63" s="1" t="s">
        <v>24</v>
      </c>
      <c r="D63" s="1" t="s">
        <v>25</v>
      </c>
      <c r="E63" s="1" t="s">
        <v>26</v>
      </c>
      <c r="F63" s="1" t="s">
        <v>21</v>
      </c>
      <c r="G63" s="1" t="s">
        <v>13</v>
      </c>
      <c r="H63" s="1" t="s">
        <v>28</v>
      </c>
      <c r="I63" s="1" t="s">
        <v>29</v>
      </c>
      <c r="J63" s="1" t="s">
        <v>29</v>
      </c>
      <c r="K63" s="1" t="s">
        <v>29</v>
      </c>
    </row>
    <row r="64" spans="1:11" x14ac:dyDescent="0.35">
      <c r="A64" s="1">
        <v>4505</v>
      </c>
      <c r="B64" s="1">
        <v>0</v>
      </c>
      <c r="C64" s="1">
        <v>0.27857900000000002</v>
      </c>
      <c r="D64" s="1">
        <v>0.26679999999999998</v>
      </c>
      <c r="E64" s="1">
        <v>0.28749999999999998</v>
      </c>
      <c r="F64" s="1">
        <v>0.28320000000000001</v>
      </c>
      <c r="G64" s="1">
        <v>0.2888</v>
      </c>
      <c r="H64" s="1">
        <v>0.26850000000000002</v>
      </c>
      <c r="I64" s="1">
        <v>0.25650000000000001</v>
      </c>
      <c r="J64" s="1">
        <v>0.26069999999999999</v>
      </c>
      <c r="K64" s="1">
        <v>0.25650000000000001</v>
      </c>
    </row>
    <row r="65" spans="1:31" x14ac:dyDescent="0.35">
      <c r="A65" s="1">
        <v>1304</v>
      </c>
      <c r="B65" s="1">
        <v>1</v>
      </c>
      <c r="C65" s="1">
        <v>0.2745398</v>
      </c>
      <c r="D65" s="1">
        <v>0.27450000000000002</v>
      </c>
      <c r="E65" s="1">
        <v>0.27610000000000001</v>
      </c>
      <c r="F65" s="1">
        <v>0.27610000000000001</v>
      </c>
      <c r="G65" s="1">
        <v>0.27610000000000001</v>
      </c>
      <c r="H65" s="1">
        <v>0.28760000000000002</v>
      </c>
      <c r="I65" s="1">
        <v>0.28560000000000002</v>
      </c>
      <c r="J65" s="1">
        <v>0.2823</v>
      </c>
      <c r="K65" s="1">
        <v>0.2823</v>
      </c>
    </row>
    <row r="66" spans="1:31" x14ac:dyDescent="0.35">
      <c r="A66" s="1">
        <v>11</v>
      </c>
      <c r="B66" s="1">
        <v>2</v>
      </c>
      <c r="C66" s="1">
        <v>0.18181800000000001</v>
      </c>
      <c r="D66" s="1">
        <v>0.18179999999999999</v>
      </c>
      <c r="E66" s="1">
        <v>0.2727</v>
      </c>
      <c r="F66" s="1">
        <v>0.2727</v>
      </c>
      <c r="G66" s="1">
        <v>0.18179999999999999</v>
      </c>
      <c r="H66" s="1">
        <v>0.31187999999999999</v>
      </c>
      <c r="I66" s="1">
        <v>0.27229999999999999</v>
      </c>
      <c r="J66" s="1">
        <v>0.28220000000000001</v>
      </c>
      <c r="K66" s="1">
        <v>0.28220000000000001</v>
      </c>
    </row>
    <row r="67" spans="1:31" x14ac:dyDescent="0.35">
      <c r="B67" s="1" t="s">
        <v>31</v>
      </c>
      <c r="C67" s="1">
        <f>(C64*$A64+C65*$A65+C66*$A66)/($A64+$A65+$A66)</f>
        <v>0.27749111549828182</v>
      </c>
      <c r="D67" s="1">
        <f t="shared" ref="D67:K67" si="5">(D64*$A64+D65*$A65+D66*$A66)/($A64+$A65+$A66)</f>
        <v>0.2683645704467354</v>
      </c>
      <c r="E67" s="1">
        <f t="shared" si="5"/>
        <v>0.28491780068728523</v>
      </c>
      <c r="F67" s="1">
        <f t="shared" si="5"/>
        <v>0.28158936426116843</v>
      </c>
      <c r="G67" s="1">
        <f t="shared" si="5"/>
        <v>0.28575226804123716</v>
      </c>
      <c r="H67" s="1">
        <f t="shared" si="5"/>
        <v>0.27286143986254296</v>
      </c>
      <c r="I67" s="1">
        <f t="shared" si="5"/>
        <v>0.26304986254295537</v>
      </c>
      <c r="J67" s="1">
        <f t="shared" si="5"/>
        <v>0.26558022336769754</v>
      </c>
      <c r="K67" s="1">
        <f t="shared" si="5"/>
        <v>0.26232919243986252</v>
      </c>
    </row>
    <row r="68" spans="1:31" x14ac:dyDescent="0.35">
      <c r="B68" s="1" t="s">
        <v>36</v>
      </c>
      <c r="C68" s="1">
        <v>0.30158000000000001</v>
      </c>
    </row>
    <row r="70" spans="1:31" x14ac:dyDescent="0.35">
      <c r="A70" s="1" t="s">
        <v>18</v>
      </c>
      <c r="B70" s="1" t="s">
        <v>19</v>
      </c>
      <c r="C70" s="5" t="s">
        <v>3</v>
      </c>
      <c r="D70" s="5"/>
      <c r="E70" s="5"/>
      <c r="F70" s="5" t="s">
        <v>6</v>
      </c>
      <c r="G70" s="5"/>
      <c r="H70" s="5"/>
      <c r="I70" s="5" t="s">
        <v>7</v>
      </c>
      <c r="J70" s="5"/>
      <c r="K70" s="5"/>
      <c r="L70" s="5" t="s">
        <v>8</v>
      </c>
      <c r="M70" s="5"/>
      <c r="N70" s="5"/>
      <c r="O70" s="5" t="s">
        <v>13</v>
      </c>
      <c r="P70" s="5"/>
      <c r="Q70" s="5"/>
      <c r="R70" s="5" t="s">
        <v>47</v>
      </c>
      <c r="S70" s="5"/>
      <c r="T70" s="5"/>
      <c r="U70" s="5"/>
    </row>
    <row r="71" spans="1:31" x14ac:dyDescent="0.35">
      <c r="A71" s="3" t="s">
        <v>41</v>
      </c>
      <c r="B71" s="1" t="s">
        <v>23</v>
      </c>
      <c r="C71" s="1" t="s">
        <v>42</v>
      </c>
      <c r="D71" s="1" t="s">
        <v>43</v>
      </c>
      <c r="F71" s="1" t="s">
        <v>44</v>
      </c>
      <c r="G71" s="1" t="s">
        <v>45</v>
      </c>
      <c r="I71" s="1" t="s">
        <v>44</v>
      </c>
      <c r="J71" s="1" t="s">
        <v>45</v>
      </c>
      <c r="L71" s="1" t="s">
        <v>44</v>
      </c>
      <c r="M71" s="1" t="s">
        <v>45</v>
      </c>
      <c r="O71" s="1" t="s">
        <v>44</v>
      </c>
      <c r="P71" s="1" t="s">
        <v>45</v>
      </c>
      <c r="R71" s="1" t="s">
        <v>10</v>
      </c>
      <c r="S71" s="1" t="s">
        <v>7</v>
      </c>
      <c r="T71" s="1" t="s">
        <v>8</v>
      </c>
      <c r="U71" s="1" t="s">
        <v>13</v>
      </c>
      <c r="V71" s="5"/>
      <c r="W71" s="5"/>
      <c r="X71" s="5"/>
      <c r="Y71" s="5"/>
      <c r="Z71" s="5"/>
      <c r="AA71" s="5"/>
      <c r="AB71" s="5"/>
      <c r="AC71" s="5"/>
      <c r="AD71" s="5"/>
      <c r="AE71" s="5"/>
    </row>
    <row r="72" spans="1:31" x14ac:dyDescent="0.35">
      <c r="A72" s="1">
        <v>882</v>
      </c>
      <c r="B72" s="1">
        <v>0</v>
      </c>
      <c r="C72" s="1">
        <v>0.41496499999999997</v>
      </c>
      <c r="D72" s="1">
        <v>0.17233000000000001</v>
      </c>
      <c r="F72" s="1">
        <v>0.36049999999999999</v>
      </c>
      <c r="G72" s="1">
        <v>0.1633</v>
      </c>
      <c r="I72" s="1">
        <v>0.34239999999999998</v>
      </c>
      <c r="J72" s="1">
        <v>0.161</v>
      </c>
      <c r="L72" s="1">
        <v>0.47960000000000003</v>
      </c>
      <c r="M72" s="1">
        <v>0.17349999999999999</v>
      </c>
      <c r="O72" s="1">
        <v>0.34239999999999998</v>
      </c>
      <c r="P72" s="1">
        <v>0.161</v>
      </c>
      <c r="R72" s="1">
        <v>0.51439999999999997</v>
      </c>
      <c r="S72" s="1">
        <v>0.50780000000000003</v>
      </c>
      <c r="T72" s="1">
        <v>0.49890000000000001</v>
      </c>
      <c r="U72" s="1">
        <v>0.50780000000000003</v>
      </c>
    </row>
    <row r="73" spans="1:31" x14ac:dyDescent="0.35">
      <c r="A73" s="1">
        <v>642</v>
      </c>
      <c r="B73" s="1">
        <v>1</v>
      </c>
      <c r="C73" s="1">
        <v>12.6121</v>
      </c>
      <c r="D73" s="1">
        <v>1.7087000000000001</v>
      </c>
      <c r="F73" s="1">
        <v>12.6121</v>
      </c>
      <c r="G73" s="1">
        <v>1.7087000000000001</v>
      </c>
      <c r="I73" s="1">
        <v>15.7788</v>
      </c>
      <c r="J73" s="1">
        <v>1.6854</v>
      </c>
      <c r="L73" s="1">
        <v>15.7788</v>
      </c>
      <c r="M73" s="1">
        <v>1.6854</v>
      </c>
      <c r="O73" s="1">
        <v>15.7788</v>
      </c>
      <c r="P73" s="1">
        <v>1.6854</v>
      </c>
      <c r="R73" s="1">
        <v>5.2664</v>
      </c>
      <c r="S73" s="1">
        <v>4.8648999999999996</v>
      </c>
      <c r="T73" s="1">
        <v>4.8648999999999996</v>
      </c>
      <c r="U73" s="1">
        <v>4.8648999999999996</v>
      </c>
    </row>
    <row r="74" spans="1:31" x14ac:dyDescent="0.35">
      <c r="A74" s="1">
        <v>87</v>
      </c>
      <c r="B74" s="1">
        <v>2</v>
      </c>
      <c r="C74" s="1">
        <v>0.59770000000000001</v>
      </c>
      <c r="D74" s="1">
        <v>0.43678</v>
      </c>
      <c r="F74" s="1">
        <v>0.57469999999999999</v>
      </c>
      <c r="G74" s="1">
        <v>0.43680000000000002</v>
      </c>
      <c r="I74" s="1">
        <v>0.58620000000000005</v>
      </c>
      <c r="J74" s="1">
        <v>0.42530000000000001</v>
      </c>
      <c r="L74" s="1">
        <v>0.58620000000000005</v>
      </c>
      <c r="M74" s="1">
        <v>0.42530000000000001</v>
      </c>
      <c r="O74" s="1">
        <v>0.58620000000000005</v>
      </c>
      <c r="P74" s="1">
        <v>0.42530000000000001</v>
      </c>
      <c r="R74" s="1">
        <v>0.71120000000000005</v>
      </c>
      <c r="S74" s="1">
        <v>0.66310000000000002</v>
      </c>
      <c r="T74" s="1">
        <v>0.66310000000000002</v>
      </c>
      <c r="U74" s="1">
        <v>0.66310000000000002</v>
      </c>
    </row>
    <row r="75" spans="1:31" x14ac:dyDescent="0.35">
      <c r="A75" s="1">
        <v>511</v>
      </c>
      <c r="B75" s="1">
        <v>4</v>
      </c>
      <c r="C75" s="1">
        <v>14.649699999999999</v>
      </c>
      <c r="D75" s="1">
        <v>2.6066500000000001</v>
      </c>
      <c r="F75" s="1">
        <v>14.649699999999999</v>
      </c>
      <c r="G75" s="1">
        <v>2.6066500000000001</v>
      </c>
      <c r="I75" s="1">
        <v>14.649699999999999</v>
      </c>
      <c r="J75" s="1">
        <v>2.6066500000000001</v>
      </c>
      <c r="L75" s="1">
        <v>14.649699999999999</v>
      </c>
      <c r="M75" s="1">
        <v>2.6066500000000001</v>
      </c>
      <c r="O75" s="1">
        <v>14.649699999999999</v>
      </c>
      <c r="P75" s="1">
        <v>2.6066500000000001</v>
      </c>
      <c r="R75" s="1">
        <v>18.393899999999999</v>
      </c>
      <c r="S75" s="1">
        <v>18.393899999999999</v>
      </c>
      <c r="T75" s="1">
        <v>18.393899999999999</v>
      </c>
      <c r="U75" s="1">
        <v>18.393899999999999</v>
      </c>
    </row>
    <row r="76" spans="1:31" x14ac:dyDescent="0.35">
      <c r="B76" s="1" t="s">
        <v>4</v>
      </c>
      <c r="C76" s="1">
        <f t="shared" ref="C76:U76" si="6">($A72*C72+$A73*C73+$A75*C75+$A74*C74)/($A72+$A73+$A74+$A75)</f>
        <v>7.5405108058435442</v>
      </c>
      <c r="D76" s="1">
        <f t="shared" si="6"/>
        <v>1.2342028605089539</v>
      </c>
      <c r="F76" s="1">
        <f t="shared" si="6"/>
        <v>7.5169296889726676</v>
      </c>
      <c r="G76" s="1">
        <f t="shared" si="6"/>
        <v>1.2304504005655041</v>
      </c>
      <c r="I76" s="1">
        <f t="shared" si="6"/>
        <v>8.4679465127238469</v>
      </c>
      <c r="J76" s="1">
        <f t="shared" si="6"/>
        <v>1.2219736333647504</v>
      </c>
      <c r="L76" s="1">
        <f t="shared" si="6"/>
        <v>8.5249730914231865</v>
      </c>
      <c r="M76" s="1">
        <f t="shared" si="6"/>
        <v>1.2271692035815269</v>
      </c>
      <c r="O76" s="1">
        <f t="shared" si="6"/>
        <v>8.4679465127238469</v>
      </c>
      <c r="P76" s="1">
        <f t="shared" si="6"/>
        <v>1.2219736333647504</v>
      </c>
      <c r="R76" s="1">
        <f t="shared" si="6"/>
        <v>6.26573369462771</v>
      </c>
      <c r="S76" s="1">
        <f t="shared" si="6"/>
        <v>6.139546654099906</v>
      </c>
      <c r="T76" s="1">
        <f t="shared" si="6"/>
        <v>6.135847408105561</v>
      </c>
      <c r="U76" s="1">
        <f t="shared" si="6"/>
        <v>6.139546654099906</v>
      </c>
    </row>
    <row r="77" spans="1:31" x14ac:dyDescent="0.35">
      <c r="B77" s="1" t="s">
        <v>9</v>
      </c>
      <c r="C77" s="1">
        <v>31.24194</v>
      </c>
      <c r="D77" s="1">
        <v>2.258</v>
      </c>
    </row>
    <row r="80" spans="1:31" x14ac:dyDescent="0.35">
      <c r="A80" s="1" t="s">
        <v>18</v>
      </c>
      <c r="B80" s="1" t="s">
        <v>19</v>
      </c>
      <c r="C80" s="1" t="s">
        <v>24</v>
      </c>
      <c r="F80" s="1" t="s">
        <v>25</v>
      </c>
      <c r="I80" s="1" t="s">
        <v>26</v>
      </c>
      <c r="L80" s="1" t="s">
        <v>21</v>
      </c>
      <c r="O80" s="1" t="s">
        <v>27</v>
      </c>
      <c r="R80" s="1" t="s">
        <v>48</v>
      </c>
    </row>
    <row r="81" spans="1:21" x14ac:dyDescent="0.35">
      <c r="A81" s="3" t="s">
        <v>49</v>
      </c>
      <c r="B81" s="1" t="s">
        <v>23</v>
      </c>
      <c r="C81" s="1" t="s">
        <v>44</v>
      </c>
      <c r="D81" s="1" t="s">
        <v>45</v>
      </c>
      <c r="F81" s="1" t="s">
        <v>44</v>
      </c>
      <c r="G81" s="1" t="s">
        <v>45</v>
      </c>
      <c r="H81" s="1" t="s">
        <v>46</v>
      </c>
      <c r="I81" s="1" t="s">
        <v>44</v>
      </c>
      <c r="J81" s="1" t="s">
        <v>45</v>
      </c>
      <c r="K81" s="1" t="s">
        <v>46</v>
      </c>
      <c r="L81" s="1" t="s">
        <v>44</v>
      </c>
      <c r="M81" s="1" t="s">
        <v>45</v>
      </c>
      <c r="N81" s="1" t="s">
        <v>46</v>
      </c>
      <c r="O81" s="1" t="s">
        <v>44</v>
      </c>
      <c r="P81" s="1" t="s">
        <v>45</v>
      </c>
      <c r="Q81" s="1" t="s">
        <v>46</v>
      </c>
      <c r="R81" s="1" t="s">
        <v>28</v>
      </c>
      <c r="S81" s="1" t="s">
        <v>26</v>
      </c>
      <c r="T81" s="1" t="s">
        <v>21</v>
      </c>
      <c r="U81" s="1" t="s">
        <v>27</v>
      </c>
    </row>
    <row r="82" spans="1:21" x14ac:dyDescent="0.35">
      <c r="A82" s="1">
        <v>80</v>
      </c>
      <c r="B82" s="1">
        <v>0</v>
      </c>
      <c r="C82" s="1">
        <v>24.299299999999999</v>
      </c>
      <c r="D82" s="1">
        <v>2.7887400000000002</v>
      </c>
      <c r="F82" s="1">
        <v>12.829499999999999</v>
      </c>
      <c r="G82" s="1">
        <v>2.7349999999999999</v>
      </c>
      <c r="I82" s="1">
        <v>25.931999999999999</v>
      </c>
      <c r="J82" s="1">
        <v>2.8025000000000002</v>
      </c>
      <c r="L82" s="1">
        <v>25.226500000000001</v>
      </c>
      <c r="M82" s="1">
        <v>2.6974999999999998</v>
      </c>
      <c r="O82" s="1">
        <v>25.221800000000002</v>
      </c>
      <c r="P82" s="1">
        <v>2.7749999999999999</v>
      </c>
      <c r="R82" s="1">
        <v>17.37</v>
      </c>
      <c r="S82" s="1">
        <v>14.1816</v>
      </c>
      <c r="T82" s="1">
        <v>12.5723</v>
      </c>
      <c r="U82" s="1">
        <v>16.196999999999999</v>
      </c>
    </row>
    <row r="83" spans="1:21" x14ac:dyDescent="0.35">
      <c r="A83" s="1">
        <v>3</v>
      </c>
      <c r="B83" s="1">
        <v>1</v>
      </c>
      <c r="C83" s="1">
        <v>12.486666</v>
      </c>
      <c r="D83" s="1">
        <v>2.9333300000000002</v>
      </c>
      <c r="F83" s="1">
        <v>12.486666</v>
      </c>
      <c r="G83" s="1">
        <v>2.9333300000000002</v>
      </c>
      <c r="I83" s="1">
        <v>12.486666</v>
      </c>
      <c r="J83" s="1">
        <v>2.9333300000000002</v>
      </c>
      <c r="L83" s="1">
        <v>12.486666</v>
      </c>
      <c r="M83" s="1">
        <v>2.9333300000000002</v>
      </c>
      <c r="O83" s="1">
        <v>12.486666</v>
      </c>
      <c r="P83" s="1">
        <v>2.9333300000000002</v>
      </c>
      <c r="R83" s="1">
        <v>13.146000000000001</v>
      </c>
      <c r="S83" s="1">
        <v>12.726000000000001</v>
      </c>
      <c r="T83" s="1">
        <v>12.726000000000001</v>
      </c>
      <c r="U83" s="1">
        <v>12.726000000000001</v>
      </c>
    </row>
    <row r="84" spans="1:21" x14ac:dyDescent="0.35">
      <c r="A84" s="1">
        <v>19</v>
      </c>
      <c r="B84" s="1" t="s">
        <v>16</v>
      </c>
      <c r="C84" s="1">
        <v>7.2984200000000001</v>
      </c>
      <c r="D84" s="1">
        <v>2.2368421000000001</v>
      </c>
      <c r="F84" s="1">
        <v>7.2984200000000001</v>
      </c>
      <c r="G84" s="1">
        <v>2.2368421000000001</v>
      </c>
      <c r="I84" s="1">
        <v>7.2984200000000001</v>
      </c>
      <c r="J84" s="1">
        <v>2.2368421000000001</v>
      </c>
      <c r="L84" s="1">
        <v>7.2984200000000001</v>
      </c>
      <c r="M84" s="1">
        <v>2.2368421000000001</v>
      </c>
      <c r="O84" s="1">
        <v>7.2984200000000001</v>
      </c>
      <c r="P84" s="1">
        <v>2.2368421000000001</v>
      </c>
      <c r="R84" s="1">
        <v>649.68669999999997</v>
      </c>
      <c r="S84" s="1">
        <v>264.75</v>
      </c>
      <c r="T84" s="1">
        <v>264.75</v>
      </c>
      <c r="U84" s="1">
        <v>264.75</v>
      </c>
    </row>
    <row r="85" spans="1:21" x14ac:dyDescent="0.35">
      <c r="B85" s="1" t="s">
        <v>4</v>
      </c>
      <c r="C85" s="1">
        <f>(C82*$A82+F83*$A83+F84*$A84)/($A82+$A83+$A84)</f>
        <v>20.785038999999998</v>
      </c>
      <c r="D85" s="1">
        <f>(D82*$A82+G83*$A83+G84*$A84)/($A82+$A83+$A84)</f>
        <v>2.6901881362745099</v>
      </c>
      <c r="F85" s="1">
        <f t="shared" ref="E85:M85" si="7">(F82*$A82+I83*$A83+I84*$A84)/($A82+$A83+$A84)</f>
        <v>11.789117431372549</v>
      </c>
      <c r="G85" s="1">
        <f t="shared" si="7"/>
        <v>2.6480391166666664</v>
      </c>
      <c r="I85" s="1">
        <f t="shared" si="7"/>
        <v>22.065588019607841</v>
      </c>
      <c r="J85" s="1">
        <f t="shared" si="7"/>
        <v>2.7009802931372549</v>
      </c>
      <c r="L85" s="1">
        <f t="shared" si="7"/>
        <v>21.512254686274513</v>
      </c>
      <c r="M85" s="1">
        <f t="shared" si="7"/>
        <v>2.6186273519607841</v>
      </c>
      <c r="O85" s="1">
        <f>(O82*$A82+O83*$A83+O84*$A84)/($A82+$A83+$A84)</f>
        <v>21.508568411764706</v>
      </c>
      <c r="P85" s="1">
        <f>(P82*$A82+P83*$A83+P84*$A84)/($A82+$A83+$A84)</f>
        <v>2.6794116656862745</v>
      </c>
      <c r="R85" s="1">
        <f t="shared" ref="Q85:U85" si="8">(R82*$A82+R83*$A83+R84*$A84)/($A82+$A83+$A84)</f>
        <v>135.03024803921571</v>
      </c>
      <c r="S85" s="1">
        <f t="shared" si="8"/>
        <v>60.813294117647061</v>
      </c>
      <c r="T85" s="1">
        <f t="shared" si="8"/>
        <v>59.551098039215681</v>
      </c>
      <c r="U85" s="1">
        <f t="shared" si="8"/>
        <v>62.393999999999998</v>
      </c>
    </row>
    <row r="86" spans="1:21" x14ac:dyDescent="0.35">
      <c r="B86" s="1" t="s">
        <v>38</v>
      </c>
      <c r="C86" s="1">
        <v>22.27186</v>
      </c>
      <c r="D86" s="1">
        <v>2.6990099999999999</v>
      </c>
    </row>
  </sheetData>
  <mergeCells count="13">
    <mergeCell ref="C20:D20"/>
    <mergeCell ref="H20:I20"/>
    <mergeCell ref="H1:I1"/>
    <mergeCell ref="C1:D1"/>
    <mergeCell ref="V71:X71"/>
    <mergeCell ref="Y71:AA71"/>
    <mergeCell ref="AB71:AE71"/>
    <mergeCell ref="C70:E70"/>
    <mergeCell ref="F70:H70"/>
    <mergeCell ref="I70:K70"/>
    <mergeCell ref="L70:N70"/>
    <mergeCell ref="O70:Q70"/>
    <mergeCell ref="R70:U7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YF T</dc:creator>
  <cp:lastModifiedBy>Max D</cp:lastModifiedBy>
  <dcterms:created xsi:type="dcterms:W3CDTF">2025-09-01T04:32:43Z</dcterms:created>
  <dcterms:modified xsi:type="dcterms:W3CDTF">2025-10-16T03:53:24Z</dcterms:modified>
</cp:coreProperties>
</file>